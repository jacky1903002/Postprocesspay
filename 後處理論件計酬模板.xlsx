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31683DDE-B446-407C-AA91-D1BFF6E55E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1" sheetId="1" r:id="rId1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2" i="1"/>
  <c r="F3" i="1"/>
  <c r="J3" i="1" s="1"/>
  <c r="F4" i="1"/>
  <c r="J4" i="1" s="1"/>
  <c r="F5" i="1"/>
  <c r="J5" i="1" s="1"/>
  <c r="F6" i="1"/>
  <c r="J6" i="1" s="1"/>
  <c r="F7" i="1"/>
  <c r="J7" i="1" s="1"/>
  <c r="F8" i="1"/>
  <c r="J8" i="1" s="1"/>
  <c r="F9" i="1"/>
  <c r="J9" i="1" s="1"/>
  <c r="F10" i="1"/>
  <c r="J10" i="1" s="1"/>
  <c r="F11" i="1"/>
  <c r="J11" i="1" s="1"/>
  <c r="F12" i="1"/>
  <c r="J12" i="1" s="1"/>
  <c r="F2" i="1"/>
  <c r="J2" i="1" s="1"/>
</calcChain>
</file>

<file path=xl/sharedStrings.xml><?xml version="1.0" encoding="utf-8"?>
<sst xmlns="http://schemas.openxmlformats.org/spreadsheetml/2006/main" count="67" uniqueCount="43">
  <si>
    <t>品號</t>
    <phoneticPr fontId="1" type="noConversion"/>
  </si>
  <si>
    <t>貨號</t>
    <phoneticPr fontId="1" type="noConversion"/>
  </si>
  <si>
    <t>工單號碼</t>
    <phoneticPr fontId="1" type="noConversion"/>
  </si>
  <si>
    <t>數量</t>
    <phoneticPr fontId="1" type="noConversion"/>
  </si>
  <si>
    <t>備註</t>
    <phoneticPr fontId="1" type="noConversion"/>
  </si>
  <si>
    <t>單價</t>
    <phoneticPr fontId="1" type="noConversion"/>
  </si>
  <si>
    <t>預計總價</t>
    <phoneticPr fontId="1" type="noConversion"/>
  </si>
  <si>
    <t>實際完成數</t>
    <phoneticPr fontId="1" type="noConversion"/>
  </si>
  <si>
    <t>實際總價</t>
    <phoneticPr fontId="1" type="noConversion"/>
  </si>
  <si>
    <t>完成率</t>
    <phoneticPr fontId="1" type="noConversion"/>
  </si>
  <si>
    <t>10407－VALE000</t>
    <phoneticPr fontId="1" type="noConversion"/>
  </si>
  <si>
    <t>FVSE－1535</t>
    <phoneticPr fontId="1" type="noConversion"/>
  </si>
  <si>
    <t>ML10－260828004</t>
    <phoneticPr fontId="1" type="noConversion"/>
  </si>
  <si>
    <t>丁世宣</t>
    <phoneticPr fontId="1" type="noConversion"/>
  </si>
  <si>
    <t/>
    <phoneticPr fontId="1" type="noConversion"/>
  </si>
  <si>
    <t>ML10－260804011</t>
    <phoneticPr fontId="1" type="noConversion"/>
  </si>
  <si>
    <t>ML10－260701030</t>
    <phoneticPr fontId="1" type="noConversion"/>
  </si>
  <si>
    <t>10068－VALE000</t>
    <phoneticPr fontId="1" type="noConversion"/>
  </si>
  <si>
    <t>FVSE－0904</t>
    <phoneticPr fontId="1" type="noConversion"/>
  </si>
  <si>
    <t>MO10－260716003</t>
    <phoneticPr fontId="1" type="noConversion"/>
  </si>
  <si>
    <t>陳氏紅蓮</t>
    <phoneticPr fontId="1" type="noConversion"/>
  </si>
  <si>
    <t>10686－AALE000</t>
    <phoneticPr fontId="1" type="noConversion"/>
  </si>
  <si>
    <t>FAMT－0547</t>
    <phoneticPr fontId="1" type="noConversion"/>
  </si>
  <si>
    <t>MO10－260806013</t>
    <phoneticPr fontId="1" type="noConversion"/>
  </si>
  <si>
    <t>60708－ASSG600</t>
    <phoneticPr fontId="1" type="noConversion"/>
  </si>
  <si>
    <t>ML10－260514064</t>
    <phoneticPr fontId="1" type="noConversion"/>
  </si>
  <si>
    <t>丁文山</t>
    <phoneticPr fontId="1" type="noConversion"/>
  </si>
  <si>
    <t>67208－LALG100</t>
    <phoneticPr fontId="1" type="noConversion"/>
  </si>
  <si>
    <t>ML10－260703036</t>
    <phoneticPr fontId="1" type="noConversion"/>
  </si>
  <si>
    <t>下修</t>
    <phoneticPr fontId="1" type="noConversion"/>
  </si>
  <si>
    <t>15025－NCSE000</t>
    <phoneticPr fontId="1" type="noConversion"/>
  </si>
  <si>
    <t>FHMI－0159－1</t>
    <phoneticPr fontId="1" type="noConversion"/>
  </si>
  <si>
    <t>ML10－260515091</t>
    <phoneticPr fontId="1" type="noConversion"/>
  </si>
  <si>
    <t>陳春孟</t>
    <phoneticPr fontId="1" type="noConversion"/>
  </si>
  <si>
    <t>15083－NALE001</t>
    <phoneticPr fontId="1" type="noConversion"/>
  </si>
  <si>
    <t>ML10－260302072</t>
    <phoneticPr fontId="1" type="noConversion"/>
  </si>
  <si>
    <t>65265－NALG100</t>
    <phoneticPr fontId="1" type="noConversion"/>
  </si>
  <si>
    <t>ASML－0038</t>
    <phoneticPr fontId="1" type="noConversion"/>
  </si>
  <si>
    <t>MO10－260525026</t>
    <phoneticPr fontId="1" type="noConversion"/>
  </si>
  <si>
    <t>吳氏秋香</t>
    <phoneticPr fontId="1" type="noConversion"/>
  </si>
  <si>
    <t>手銬</t>
    <phoneticPr fontId="1" type="noConversion"/>
  </si>
  <si>
    <t>後處理工時(H)</t>
    <phoneticPr fontId="1" type="noConversion"/>
  </si>
  <si>
    <t>作業人員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</si>
</sst>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%"/>
  </numFmts>
  <fonts count="4">
    <font>
      <sz val="11"/>
      <name val="新細明體"/>
      <family val="1"/>
      <charset val="134"/>
      <scheme val="minor"/>
    </font>
    <font>
      <sz val="12"/>
      <name val="Cambria"/>
      <family val="1"/>
      <charset val="134"/>
    </font>
    <font>
      <sz val="12"/>
      <name val="新細明體"/>
      <family val="1"/>
      <charset val="136"/>
    </font>
    <font>
      <sz val="12"/>
      <name val="Microsoft JhengHe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top"/>
    </xf>
  </cellStyleXfs>
  <cellXfs count="11">
    <xf numFmtId="0" fontId="1" fillId="0" borderId="0" xfId="0" applyFont="1" applyAlignment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177" fontId="1" fillId="0" borderId="4" xfId="0" applyNumberFormat="1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A16" sqref="A16"/>
    </sheetView>
  </sheetViews>
  <sheetFormatPr defaultRowHeight="15"/>
  <cols>
    <col min="1" max="1" width="24.19921875" customWidth="1"/>
    <col min="2" max="2" width="20.09765625" customWidth="1"/>
    <col min="3" max="3" width="21.3984375" customWidth="1"/>
    <col min="4" max="4" width="10.19921875" customWidth="1"/>
    <col min="5" max="5" width="17.19921875" customWidth="1"/>
    <col min="6" max="6" width="6.796875" bestFit="1" customWidth="1"/>
    <col min="7" max="7" width="16.59765625" customWidth="1"/>
    <col min="8" max="8" width="12.69921875" style="9" customWidth="1"/>
    <col min="9" max="9" width="14.8984375" customWidth="1"/>
    <col min="10" max="10" width="12.69921875" customWidth="1"/>
    <col min="11" max="11" width="11.59765625" bestFit="1" customWidth="1"/>
    <col min="12" max="12" width="10.19921875" customWidth="1"/>
  </cols>
  <sheetData>
    <row r="1" spans="1:12" ht="17">
      <c r="A1" s="1" t="s">
        <v>0</v>
      </c>
      <c r="B1" s="2" t="s">
        <v>1</v>
      </c>
      <c r="C1" s="2" t="s">
        <v>2</v>
      </c>
      <c r="D1" s="2" t="s">
        <v>3</v>
      </c>
      <c r="E1" s="5" t="s">
        <v>41</v>
      </c>
      <c r="F1" s="5" t="s">
        <v>5</v>
      </c>
      <c r="G1" s="7" t="s">
        <v>42</v>
      </c>
      <c r="H1" s="8" t="s">
        <v>6</v>
      </c>
      <c r="I1" s="2" t="s">
        <v>7</v>
      </c>
      <c r="J1" s="2" t="s">
        <v>8</v>
      </c>
      <c r="K1" s="2" t="s">
        <v>9</v>
      </c>
      <c r="L1" s="2" t="s">
        <v>4</v>
      </c>
    </row>
    <row r="2" spans="1:12">
      <c r="A2" s="3" t="s">
        <v>10</v>
      </c>
      <c r="B2" s="4" t="s">
        <v>11</v>
      </c>
      <c r="C2" s="4" t="s">
        <v>12</v>
      </c>
      <c r="D2" s="6">
        <v>70</v>
      </c>
      <c r="E2" s="4">
        <v>0.75</v>
      </c>
      <c r="F2" s="4">
        <f>ROUNDDOWN(E2*250,0)</f>
        <v>187</v>
      </c>
      <c r="G2" s="4" t="s">
        <v>13</v>
      </c>
      <c r="H2" s="6">
        <v>13090</v>
      </c>
      <c r="I2" s="6">
        <v>65</v>
      </c>
      <c r="J2" s="4">
        <f>F2*I2</f>
        <v>12155</v>
      </c>
      <c r="K2" s="10">
        <f>I2/D2</f>
        <v>0.9285714285714286</v>
      </c>
      <c r="L2" s="4" t="s">
        <v>14</v>
      </c>
    </row>
    <row r="3" spans="1:12">
      <c r="A3" s="3" t="s">
        <v>10</v>
      </c>
      <c r="B3" s="4" t="s">
        <v>11</v>
      </c>
      <c r="C3" s="4" t="s">
        <v>15</v>
      </c>
      <c r="D3" s="6">
        <v>59</v>
      </c>
      <c r="E3" s="4">
        <v>0.75</v>
      </c>
      <c r="F3" s="4">
        <f t="shared" ref="F3:F12" si="0">ROUNDDOWN(E3*250,0)</f>
        <v>187</v>
      </c>
      <c r="G3" s="4" t="s">
        <v>13</v>
      </c>
      <c r="H3" s="6">
        <v>11033</v>
      </c>
      <c r="I3" s="6">
        <v>54</v>
      </c>
      <c r="J3" s="4">
        <f t="shared" ref="J3:J12" si="1">F3*I3</f>
        <v>10098</v>
      </c>
      <c r="K3" s="10">
        <f t="shared" ref="K3:K12" si="2">I3/D3</f>
        <v>0.9152542372881356</v>
      </c>
      <c r="L3" s="4" t="s">
        <v>14</v>
      </c>
    </row>
    <row r="4" spans="1:12">
      <c r="A4" s="3" t="s">
        <v>10</v>
      </c>
      <c r="B4" s="4" t="s">
        <v>11</v>
      </c>
      <c r="C4" s="4" t="s">
        <v>16</v>
      </c>
      <c r="D4" s="6">
        <v>1</v>
      </c>
      <c r="E4" s="4">
        <v>0.75</v>
      </c>
      <c r="F4" s="4">
        <f t="shared" si="0"/>
        <v>187</v>
      </c>
      <c r="G4" s="4" t="s">
        <v>13</v>
      </c>
      <c r="H4" s="6">
        <v>187</v>
      </c>
      <c r="I4" s="6">
        <v>1</v>
      </c>
      <c r="J4" s="4">
        <f t="shared" si="1"/>
        <v>187</v>
      </c>
      <c r="K4" s="10">
        <f t="shared" si="2"/>
        <v>1</v>
      </c>
      <c r="L4" s="4" t="s">
        <v>14</v>
      </c>
    </row>
    <row r="5" spans="1:12">
      <c r="A5" s="3" t="s">
        <v>17</v>
      </c>
      <c r="B5" s="4" t="s">
        <v>18</v>
      </c>
      <c r="C5" s="4" t="s">
        <v>19</v>
      </c>
      <c r="D5" s="6">
        <v>42</v>
      </c>
      <c r="E5" s="4">
        <v>0.75</v>
      </c>
      <c r="F5" s="4">
        <f t="shared" si="0"/>
        <v>187</v>
      </c>
      <c r="G5" s="4" t="s">
        <v>20</v>
      </c>
      <c r="H5" s="6">
        <v>7854</v>
      </c>
      <c r="I5" s="6">
        <v>37</v>
      </c>
      <c r="J5" s="4">
        <f t="shared" si="1"/>
        <v>6919</v>
      </c>
      <c r="K5" s="10">
        <f t="shared" si="2"/>
        <v>0.88095238095238093</v>
      </c>
      <c r="L5" s="4" t="s">
        <v>14</v>
      </c>
    </row>
    <row r="6" spans="1:12">
      <c r="A6" s="3" t="s">
        <v>21</v>
      </c>
      <c r="B6" s="4" t="s">
        <v>22</v>
      </c>
      <c r="C6" s="4" t="s">
        <v>23</v>
      </c>
      <c r="D6" s="6">
        <v>12</v>
      </c>
      <c r="E6" s="4">
        <v>3.5</v>
      </c>
      <c r="F6" s="4">
        <f t="shared" si="0"/>
        <v>875</v>
      </c>
      <c r="G6" s="4" t="s">
        <v>20</v>
      </c>
      <c r="H6" s="6">
        <v>10500</v>
      </c>
      <c r="I6" s="6">
        <v>7</v>
      </c>
      <c r="J6" s="4">
        <f t="shared" si="1"/>
        <v>6125</v>
      </c>
      <c r="K6" s="10">
        <f t="shared" si="2"/>
        <v>0.58333333333333337</v>
      </c>
      <c r="L6" s="4" t="s">
        <v>14</v>
      </c>
    </row>
    <row r="7" spans="1:12">
      <c r="A7" s="3" t="s">
        <v>24</v>
      </c>
      <c r="B7" s="4" t="s">
        <v>24</v>
      </c>
      <c r="C7" s="4" t="s">
        <v>25</v>
      </c>
      <c r="D7" s="6">
        <v>100</v>
      </c>
      <c r="E7" s="4">
        <v>0.5</v>
      </c>
      <c r="F7" s="4">
        <f t="shared" si="0"/>
        <v>125</v>
      </c>
      <c r="G7" s="4" t="s">
        <v>26</v>
      </c>
      <c r="H7" s="6">
        <v>12500</v>
      </c>
      <c r="I7" s="6">
        <v>95</v>
      </c>
      <c r="J7" s="4">
        <f t="shared" si="1"/>
        <v>11875</v>
      </c>
      <c r="K7" s="10">
        <f t="shared" si="2"/>
        <v>0.95</v>
      </c>
      <c r="L7" s="4" t="s">
        <v>14</v>
      </c>
    </row>
    <row r="8" spans="1:12">
      <c r="A8" s="3" t="s">
        <v>27</v>
      </c>
      <c r="B8" s="4" t="s">
        <v>27</v>
      </c>
      <c r="C8" s="4" t="s">
        <v>28</v>
      </c>
      <c r="D8" s="6">
        <v>50</v>
      </c>
      <c r="E8" s="4">
        <v>0.5</v>
      </c>
      <c r="F8" s="4">
        <f t="shared" si="0"/>
        <v>125</v>
      </c>
      <c r="G8" s="4" t="s">
        <v>26</v>
      </c>
      <c r="H8" s="6">
        <v>6250</v>
      </c>
      <c r="I8" s="6">
        <v>45</v>
      </c>
      <c r="J8" s="4">
        <f t="shared" si="1"/>
        <v>5625</v>
      </c>
      <c r="K8" s="10">
        <f t="shared" si="2"/>
        <v>0.9</v>
      </c>
      <c r="L8" s="4" t="s">
        <v>29</v>
      </c>
    </row>
    <row r="9" spans="1:12">
      <c r="A9" s="3" t="s">
        <v>30</v>
      </c>
      <c r="B9" s="4" t="s">
        <v>31</v>
      </c>
      <c r="C9" s="4" t="s">
        <v>32</v>
      </c>
      <c r="D9" s="6">
        <v>7</v>
      </c>
      <c r="E9" s="4">
        <v>6</v>
      </c>
      <c r="F9" s="4">
        <f t="shared" si="0"/>
        <v>1500</v>
      </c>
      <c r="G9" s="4" t="s">
        <v>33</v>
      </c>
      <c r="H9" s="6">
        <v>10500</v>
      </c>
      <c r="I9" s="6">
        <v>2</v>
      </c>
      <c r="J9" s="4">
        <f t="shared" si="1"/>
        <v>3000</v>
      </c>
      <c r="K9" s="10">
        <f t="shared" si="2"/>
        <v>0.2857142857142857</v>
      </c>
      <c r="L9" s="4" t="s">
        <v>14</v>
      </c>
    </row>
    <row r="10" spans="1:12">
      <c r="A10" s="3" t="s">
        <v>34</v>
      </c>
      <c r="B10" s="4" t="s">
        <v>34</v>
      </c>
      <c r="C10" s="4" t="s">
        <v>35</v>
      </c>
      <c r="D10" s="6">
        <v>10</v>
      </c>
      <c r="E10" s="4">
        <v>0.66</v>
      </c>
      <c r="F10" s="4">
        <f t="shared" si="0"/>
        <v>165</v>
      </c>
      <c r="G10" s="4" t="s">
        <v>33</v>
      </c>
      <c r="H10" s="6">
        <v>1650</v>
      </c>
      <c r="I10" s="6">
        <v>5</v>
      </c>
      <c r="J10" s="4">
        <f t="shared" si="1"/>
        <v>825</v>
      </c>
      <c r="K10" s="10">
        <f t="shared" si="2"/>
        <v>0.5</v>
      </c>
      <c r="L10" s="4" t="s">
        <v>14</v>
      </c>
    </row>
    <row r="11" spans="1:12">
      <c r="A11" s="3" t="s">
        <v>36</v>
      </c>
      <c r="B11" s="4" t="s">
        <v>37</v>
      </c>
      <c r="C11" s="4" t="s">
        <v>38</v>
      </c>
      <c r="D11" s="6">
        <v>10</v>
      </c>
      <c r="E11" s="4">
        <v>2.5</v>
      </c>
      <c r="F11" s="4">
        <f t="shared" si="0"/>
        <v>625</v>
      </c>
      <c r="G11" s="4" t="s">
        <v>39</v>
      </c>
      <c r="H11" s="6">
        <v>6250</v>
      </c>
      <c r="I11" s="6">
        <v>5</v>
      </c>
      <c r="J11" s="4">
        <f t="shared" si="1"/>
        <v>3125</v>
      </c>
      <c r="K11" s="10">
        <f t="shared" si="2"/>
        <v>0.5</v>
      </c>
      <c r="L11" s="4" t="s">
        <v>40</v>
      </c>
    </row>
    <row r="12" spans="1:12">
      <c r="A12" s="3" t="s">
        <v>36</v>
      </c>
      <c r="B12" s="4" t="s">
        <v>37</v>
      </c>
      <c r="C12" s="4" t="s">
        <v>38</v>
      </c>
      <c r="D12" s="6">
        <v>10</v>
      </c>
      <c r="E12" s="4">
        <v>2.5</v>
      </c>
      <c r="F12" s="4">
        <f t="shared" si="0"/>
        <v>625</v>
      </c>
      <c r="G12" s="4" t="s">
        <v>39</v>
      </c>
      <c r="H12" s="6">
        <v>6250</v>
      </c>
      <c r="I12" s="6">
        <v>5</v>
      </c>
      <c r="J12" s="4">
        <f t="shared" si="1"/>
        <v>3125</v>
      </c>
      <c r="K12" s="10">
        <f t="shared" si="2"/>
        <v>0.5</v>
      </c>
      <c r="L12" s="4" t="s">
        <v>40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2026-10-11T02:24:10Z</dcterms:created>
  <dcterms:modified xsi:type="dcterms:W3CDTF">2026-10-11T02:42:38Z</dcterms:modified>
</cp:coreProperties>
</file>